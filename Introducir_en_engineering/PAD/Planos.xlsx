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kn-my.sharepoint.com/personal/david_marquez_gkn_com/Documents/Escritorio/General/IA_py/00_planos_para_cinematica_AAR3/"/>
    </mc:Choice>
  </mc:AlternateContent>
  <xr:revisionPtr revIDLastSave="146" documentId="11_F25DC773A252ABDACC1048F6A9DA42C85ADE58EE" xr6:coauthVersionLast="47" xr6:coauthVersionMax="47" xr10:uidLastSave="{73A56066-DD06-4664-B8CE-AE08B5979B7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18" i="1"/>
  <c r="I10" i="1"/>
  <c r="I3" i="1"/>
  <c r="I7" i="1"/>
</calcChain>
</file>

<file path=xl/sharedStrings.xml><?xml version="1.0" encoding="utf-8"?>
<sst xmlns="http://schemas.openxmlformats.org/spreadsheetml/2006/main" count="45" uniqueCount="35">
  <si>
    <t>AAR3-23</t>
  </si>
  <si>
    <t>AAR3-33</t>
  </si>
  <si>
    <t>Tripod fin.</t>
  </si>
  <si>
    <t>Tulip fin.</t>
  </si>
  <si>
    <t>Roller</t>
  </si>
  <si>
    <t>Shaft</t>
  </si>
  <si>
    <t>Espesor muñon</t>
  </si>
  <si>
    <t>Espesor cuello</t>
  </si>
  <si>
    <t>Espesor cuerpo</t>
  </si>
  <si>
    <t>M2</t>
  </si>
  <si>
    <t>N</t>
  </si>
  <si>
    <t>M</t>
  </si>
  <si>
    <t>Radio muñon</t>
  </si>
  <si>
    <t>Altura cuerpo</t>
  </si>
  <si>
    <t>F5/2</t>
  </si>
  <si>
    <t>RE</t>
  </si>
  <si>
    <t>PCD/2</t>
  </si>
  <si>
    <t>altura_trunion</t>
  </si>
  <si>
    <t>H4-H2</t>
  </si>
  <si>
    <t>Plunge</t>
  </si>
  <si>
    <t>Espesor tulipa</t>
  </si>
  <si>
    <t>Tulip forg.</t>
  </si>
  <si>
    <t>Altura_al_hombro</t>
  </si>
  <si>
    <t>*Tengo que aqctualizarlo</t>
  </si>
  <si>
    <t>Inventadisimo</t>
  </si>
  <si>
    <t>Barra</t>
  </si>
  <si>
    <t>diametro</t>
  </si>
  <si>
    <t>diametro_reces</t>
  </si>
  <si>
    <t>longitud</t>
  </si>
  <si>
    <t>longitud_reces</t>
  </si>
  <si>
    <t>distancia centro junta reces</t>
  </si>
  <si>
    <t>diametro_exterior</t>
  </si>
  <si>
    <t>espesor_roller</t>
  </si>
  <si>
    <t>diametro_interior</t>
  </si>
  <si>
    <t>radio_exterior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</si>
</sst>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 xr:uid="{195773F6-3B05-4FA5-A892-8921E51709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6"/>
  <sheetViews>
    <sheetView tabSelected="1" topLeftCell="A16" zoomScale="145" zoomScaleNormal="145" workbookViewId="0">
      <selection activeCell="H32" sqref="H32:H35"/>
    </sheetView>
  </sheetViews>
  <sheetFormatPr defaultRowHeight="15" x14ac:dyDescent="0.25"/>
  <cols>
    <col min="2" max="2" width="16" customWidth="1"/>
    <col min="3" max="3" width="11.42578125" customWidth="1"/>
    <col min="4" max="4" width="14" customWidth="1"/>
    <col min="8" max="8" width="25.7109375" bestFit="1" customWidth="1"/>
    <col min="9" max="9" width="23.42578125" customWidth="1"/>
    <col min="10" max="10" width="31.85546875" customWidth="1"/>
    <col min="11" max="11" width="13.7109375" customWidth="1"/>
  </cols>
  <sheetData>
    <row r="2" spans="2:11" x14ac:dyDescent="0.25">
      <c r="B2" s="1"/>
      <c r="C2" s="2" t="s">
        <v>0</v>
      </c>
      <c r="D2" s="2" t="s">
        <v>1</v>
      </c>
      <c r="H2" s="2" t="s">
        <v>1</v>
      </c>
      <c r="I2" s="2" t="s">
        <v>2</v>
      </c>
      <c r="J2" s="2">
        <v>10479864</v>
      </c>
    </row>
    <row r="3" spans="2:11" x14ac:dyDescent="0.25">
      <c r="B3" s="2" t="s">
        <v>2</v>
      </c>
      <c r="C3" s="2">
        <v>10546171</v>
      </c>
      <c r="D3" s="2">
        <v>10479864</v>
      </c>
      <c r="H3" s="3" t="s">
        <v>13</v>
      </c>
      <c r="I3" s="1">
        <f>32.7/2</f>
        <v>16.350000000000001</v>
      </c>
      <c r="J3" s="1" t="s">
        <v>14</v>
      </c>
    </row>
    <row r="4" spans="2:11" x14ac:dyDescent="0.25">
      <c r="B4" s="2" t="s">
        <v>3</v>
      </c>
      <c r="C4" s="2">
        <v>10565385</v>
      </c>
      <c r="D4" s="2">
        <v>10543933</v>
      </c>
      <c r="H4" s="1" t="s">
        <v>8</v>
      </c>
      <c r="I4" s="1">
        <v>22.3</v>
      </c>
      <c r="J4" s="1" t="s">
        <v>10</v>
      </c>
    </row>
    <row r="5" spans="2:11" x14ac:dyDescent="0.25">
      <c r="B5" s="2" t="s">
        <v>21</v>
      </c>
      <c r="C5" s="2"/>
      <c r="D5" s="2">
        <v>10543712</v>
      </c>
      <c r="H5" s="1"/>
      <c r="I5" s="1"/>
      <c r="J5" s="1"/>
    </row>
    <row r="6" spans="2:11" x14ac:dyDescent="0.25">
      <c r="B6" s="2" t="s">
        <v>4</v>
      </c>
      <c r="C6" s="2">
        <v>10565388</v>
      </c>
      <c r="D6" s="2">
        <v>10544343</v>
      </c>
    </row>
    <row r="7" spans="2:11" x14ac:dyDescent="0.25">
      <c r="B7" s="2" t="s">
        <v>5</v>
      </c>
      <c r="C7" s="2">
        <v>10245121</v>
      </c>
      <c r="D7" s="2">
        <v>10245124</v>
      </c>
      <c r="H7" s="1" t="s">
        <v>16</v>
      </c>
      <c r="I7" s="1">
        <f>53.2/2</f>
        <v>26.6</v>
      </c>
    </row>
    <row r="8" spans="2:11" x14ac:dyDescent="0.25">
      <c r="B8" s="2"/>
      <c r="C8" s="2"/>
      <c r="D8" s="2"/>
      <c r="H8" s="1" t="s">
        <v>6</v>
      </c>
      <c r="I8" s="1">
        <v>22.9</v>
      </c>
      <c r="J8" s="1" t="s">
        <v>11</v>
      </c>
      <c r="K8" s="1"/>
    </row>
    <row r="9" spans="2:11" x14ac:dyDescent="0.25">
      <c r="B9" s="2"/>
      <c r="C9" s="2"/>
      <c r="D9" s="2"/>
      <c r="H9" s="3" t="s">
        <v>12</v>
      </c>
      <c r="I9" s="3">
        <v>11.33</v>
      </c>
      <c r="J9" s="1" t="s">
        <v>15</v>
      </c>
    </row>
    <row r="10" spans="2:11" x14ac:dyDescent="0.25">
      <c r="B10" s="2"/>
      <c r="C10" s="2"/>
      <c r="D10" s="2"/>
      <c r="H10" s="3" t="s">
        <v>17</v>
      </c>
      <c r="I10" s="3">
        <f>32-22.78</f>
        <v>9.2199999999999989</v>
      </c>
      <c r="J10" s="1" t="s">
        <v>18</v>
      </c>
    </row>
    <row r="11" spans="2:11" x14ac:dyDescent="0.25">
      <c r="B11" s="2"/>
      <c r="C11" s="2"/>
      <c r="D11" s="2"/>
    </row>
    <row r="12" spans="2:11" x14ac:dyDescent="0.25">
      <c r="B12" s="1"/>
      <c r="C12" s="1"/>
      <c r="D12" s="1"/>
      <c r="H12" s="1" t="s">
        <v>7</v>
      </c>
      <c r="I12" s="1">
        <v>20.2</v>
      </c>
      <c r="J12" s="1" t="s">
        <v>9</v>
      </c>
    </row>
    <row r="13" spans="2:11" x14ac:dyDescent="0.25">
      <c r="K13" s="1"/>
    </row>
    <row r="15" spans="2:11" x14ac:dyDescent="0.25">
      <c r="H15" s="2" t="s">
        <v>1</v>
      </c>
      <c r="I15" s="2" t="s">
        <v>3</v>
      </c>
      <c r="J15" s="2">
        <v>10543933</v>
      </c>
    </row>
    <row r="16" spans="2:11" x14ac:dyDescent="0.25">
      <c r="H16" s="3" t="s">
        <v>19</v>
      </c>
      <c r="I16" s="1">
        <v>78.34</v>
      </c>
      <c r="J16" s="1"/>
    </row>
    <row r="17" spans="8:10" x14ac:dyDescent="0.25">
      <c r="H17" s="1" t="s">
        <v>20</v>
      </c>
      <c r="I17" s="1">
        <v>4</v>
      </c>
      <c r="J17" s="5" t="s">
        <v>24</v>
      </c>
    </row>
    <row r="18" spans="8:10" x14ac:dyDescent="0.25">
      <c r="H18" s="3" t="s">
        <v>22</v>
      </c>
      <c r="I18" s="1">
        <f>71/2</f>
        <v>35.5</v>
      </c>
      <c r="J18" s="4" t="s">
        <v>23</v>
      </c>
    </row>
    <row r="19" spans="8:10" x14ac:dyDescent="0.25">
      <c r="H19" s="1"/>
      <c r="I19" s="1"/>
    </row>
    <row r="20" spans="8:10" x14ac:dyDescent="0.25">
      <c r="H20" s="1"/>
      <c r="I20" s="1"/>
      <c r="J20" s="1"/>
    </row>
    <row r="21" spans="8:10" x14ac:dyDescent="0.25">
      <c r="H21" s="3"/>
      <c r="I21" s="3"/>
      <c r="J21" s="1"/>
    </row>
    <row r="22" spans="8:10" x14ac:dyDescent="0.25">
      <c r="H22" s="2" t="s">
        <v>1</v>
      </c>
      <c r="I22" s="2" t="s">
        <v>25</v>
      </c>
      <c r="J22" s="2">
        <v>10543933</v>
      </c>
    </row>
    <row r="23" spans="8:10" x14ac:dyDescent="0.25">
      <c r="H23" s="3" t="s">
        <v>26</v>
      </c>
      <c r="I23" s="1">
        <v>28.1</v>
      </c>
      <c r="J23" s="6"/>
    </row>
    <row r="24" spans="8:10" x14ac:dyDescent="0.25">
      <c r="H24" s="1" t="s">
        <v>27</v>
      </c>
      <c r="I24" s="1">
        <v>26.6</v>
      </c>
      <c r="J24" s="5" t="s">
        <v>24</v>
      </c>
    </row>
    <row r="25" spans="8:10" x14ac:dyDescent="0.25">
      <c r="H25" s="3" t="s">
        <v>29</v>
      </c>
      <c r="I25" s="1">
        <v>10</v>
      </c>
      <c r="J25" s="5" t="s">
        <v>24</v>
      </c>
    </row>
    <row r="26" spans="8:10" x14ac:dyDescent="0.25">
      <c r="H26" s="3" t="s">
        <v>28</v>
      </c>
      <c r="I26" s="1">
        <v>140</v>
      </c>
      <c r="J26" s="5" t="s">
        <v>24</v>
      </c>
    </row>
    <row r="27" spans="8:10" x14ac:dyDescent="0.25">
      <c r="H27" s="3" t="s">
        <v>30</v>
      </c>
      <c r="I27" s="1">
        <f>10+43.6-13.1</f>
        <v>40.5</v>
      </c>
    </row>
    <row r="31" spans="8:10" x14ac:dyDescent="0.25">
      <c r="H31" s="2" t="s">
        <v>1</v>
      </c>
      <c r="I31" s="2" t="s">
        <v>4</v>
      </c>
      <c r="J31" s="2">
        <v>10543933</v>
      </c>
    </row>
    <row r="32" spans="8:10" x14ac:dyDescent="0.25">
      <c r="H32" s="3" t="s">
        <v>31</v>
      </c>
      <c r="I32" s="1">
        <v>44</v>
      </c>
      <c r="J32" s="6"/>
    </row>
    <row r="33" spans="8:10" x14ac:dyDescent="0.25">
      <c r="H33" s="1" t="s">
        <v>32</v>
      </c>
      <c r="I33" s="1">
        <v>16.3</v>
      </c>
      <c r="J33" s="6"/>
    </row>
    <row r="34" spans="8:10" x14ac:dyDescent="0.25">
      <c r="H34" s="3" t="s">
        <v>33</v>
      </c>
      <c r="I34" s="1">
        <v>33.878</v>
      </c>
      <c r="J34" s="6"/>
    </row>
    <row r="35" spans="8:10" x14ac:dyDescent="0.25">
      <c r="H35" s="3" t="s">
        <v>34</v>
      </c>
      <c r="I35" s="1">
        <v>16</v>
      </c>
      <c r="J35" s="6"/>
    </row>
    <row r="36" spans="8:10" x14ac:dyDescent="0.25">
      <c r="H36" s="3"/>
      <c r="I36" s="1"/>
      <c r="J36" s="7"/>
    </row>
  </sheetData>
  <pageMargins left="0.7" right="0.7" top="0.75" bottom="0.75" header="0.3" footer="0.3"/>
  <headerFooter>
    <oddFooter>&amp;L_x000D_&amp;1#&amp;"Calibri"&amp;11&amp;K808080   INTERNAL</oddFooter>
  </headerFooter>
</worksheet>
</file>

<file path=docMetadata/LabelInfo.xml><?xml version="1.0" encoding="utf-8"?>
<clbl:labelList xmlns:clbl="http://schemas.microsoft.com/office/2020/mipLabelMetadata">
  <clbl:label id="{7bc85018-6f5c-422a-95af-cdc096b93725}" enabled="1" method="Privileged" siteId="{c42675da-6e66-4200-9d0d-a2874cf3cf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Marquez</dc:creator>
  <cp:lastModifiedBy>David Marquez</cp:lastModifiedBy>
  <dcterms:created xsi:type="dcterms:W3CDTF">2015-06-05T18:17:20Z</dcterms:created>
  <dcterms:modified xsi:type="dcterms:W3CDTF">2026-05-15T12:22:23Z</dcterms:modified>
</cp:coreProperties>
</file>